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ndimiento mensual" sheetId="2" state="visible" r:id="rId2"/>
    <sheet name="Cierre 31-dic (mensual)" sheetId="3" state="visible" r:id="rId3"/>
    <sheet name="Rendimiento anual" sheetId="4" state="visible" r:id="rId4"/>
    <sheet name="Valor cuota (fin de mes)" sheetId="5" state="visible" r:id="rId5"/>
    <sheet name="Patrimonio (fin de mes)" sheetId="6" state="visible" r:id="rId6"/>
    <sheet name="Notas y metodologi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46180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46180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46180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46180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46180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46180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>
      <c r="A3" s="13" t="inlineStr">
        <is>
          <t>Fondo</t>
        </is>
      </c>
      <c r="B3" s="14" t="inlineStr">
        <is>
          <t>may-2023</t>
        </is>
      </c>
      <c r="C3" s="14" t="inlineStr">
        <is>
          <t>jun-2023</t>
        </is>
      </c>
      <c r="D3" s="14" t="inlineStr">
        <is>
          <t>jul-2023</t>
        </is>
      </c>
      <c r="E3" s="14" t="inlineStr">
        <is>
          <t>ago-2023</t>
        </is>
      </c>
      <c r="F3" s="14" t="inlineStr">
        <is>
          <t>sep-2023</t>
        </is>
      </c>
      <c r="G3" s="14" t="inlineStr">
        <is>
          <t>oct-2023</t>
        </is>
      </c>
      <c r="H3" s="14" t="inlineStr">
        <is>
          <t>nov-2023</t>
        </is>
      </c>
      <c r="I3" s="14" t="inlineStr">
        <is>
          <t>dic-2023</t>
        </is>
      </c>
      <c r="J3" s="14" t="inlineStr">
        <is>
          <t>ene-2024</t>
        </is>
      </c>
      <c r="K3" s="14" t="inlineStr">
        <is>
          <t>feb-2024</t>
        </is>
      </c>
      <c r="L3" s="14" t="inlineStr">
        <is>
          <t>mar-2024</t>
        </is>
      </c>
      <c r="M3" s="14" t="inlineStr">
        <is>
          <t>abr-2024</t>
        </is>
      </c>
      <c r="N3" s="14" t="inlineStr">
        <is>
          <t>may-2024</t>
        </is>
      </c>
      <c r="O3" s="14" t="inlineStr">
        <is>
          <t>jun-2024</t>
        </is>
      </c>
      <c r="P3" s="14" t="inlineStr">
        <is>
          <t>jul-2024</t>
        </is>
      </c>
      <c r="Q3" s="14" t="inlineStr">
        <is>
          <t>ago-2024</t>
        </is>
      </c>
      <c r="R3" s="14" t="inlineStr">
        <is>
          <t>sep-2024</t>
        </is>
      </c>
      <c r="S3" s="14" t="inlineStr">
        <is>
          <t>oct-2024</t>
        </is>
      </c>
      <c r="T3" s="14" t="inlineStr">
        <is>
          <t>nov-2024</t>
        </is>
      </c>
      <c r="U3" s="14" t="inlineStr">
        <is>
          <t>dic-2024</t>
        </is>
      </c>
      <c r="V3" s="14" t="inlineStr">
        <is>
          <t>ene-2025</t>
        </is>
      </c>
      <c r="W3" s="14" t="inlineStr">
        <is>
          <t>feb-2025</t>
        </is>
      </c>
      <c r="X3" s="14" t="inlineStr">
        <is>
          <t>mar-2025</t>
        </is>
      </c>
      <c r="Y3" s="14" t="inlineStr">
        <is>
          <t>abr-2025</t>
        </is>
      </c>
      <c r="Z3" s="14" t="inlineStr">
        <is>
          <t>may-2025</t>
        </is>
      </c>
      <c r="AA3" s="14" t="inlineStr">
        <is>
          <t>jun-2025</t>
        </is>
      </c>
      <c r="AB3" s="14" t="inlineStr">
        <is>
          <t>jul-2025</t>
        </is>
      </c>
      <c r="AC3" s="14" t="inlineStr">
        <is>
          <t>ago-2025</t>
        </is>
      </c>
      <c r="AD3" s="14" t="inlineStr">
        <is>
          <t>sep-2025</t>
        </is>
      </c>
      <c r="AE3" s="14" t="inlineStr">
        <is>
          <t>oct-2025</t>
        </is>
      </c>
      <c r="AF3" s="14" t="inlineStr">
        <is>
          <t>nov-2025</t>
        </is>
      </c>
      <c r="AG3" s="14" t="inlineStr">
        <is>
          <t>dic-2025</t>
        </is>
      </c>
      <c r="AH3" s="14" t="inlineStr">
        <is>
          <t>ene-2026</t>
        </is>
      </c>
      <c r="AI3" s="14" t="inlineStr">
        <is>
          <t>feb-2026</t>
        </is>
      </c>
      <c r="AJ3" s="14" t="inlineStr">
        <is>
          <t>mar-2026</t>
        </is>
      </c>
      <c r="AK3" s="14" t="inlineStr">
        <is>
          <t>abr-2026</t>
        </is>
      </c>
      <c r="AL3" s="14" t="inlineStr">
        <is>
          <t>may-2026</t>
        </is>
      </c>
      <c r="AM3" s="14" t="inlineStr">
        <is>
          <t>jun-2026*</t>
        </is>
      </c>
    </row>
    <row r="4">
      <c r="A4" s="15" t="inlineStr">
        <is>
          <t>FI Abierto Hencorp Opportunity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</row>
    <row r="5">
      <c r="A5" s="15" t="inlineStr">
        <is>
          <t>FIC Renta Fija I</t>
        </is>
      </c>
      <c r="B5" s="17" t="n"/>
      <c r="C5" s="17" t="n"/>
      <c r="D5" s="17" t="n"/>
      <c r="E5" s="17" t="n"/>
      <c r="F5" s="17" t="n"/>
      <c r="G5" s="16">
        <f>IF('Valor cuota (fin de mes)'!G5="","",'Valor cuota (fin de mes)'!G5/'Resumen'!$D$5-1)</f>
        <v/>
      </c>
      <c r="H5" s="16">
        <f>IFERROR(IF(OR('Valor cuota (fin de mes)'!H5="",'Valor cuota (fin de mes)'!G5=""),"",'Valor cuota (fin de mes)'!H5/'Valor cuota (fin de mes)'!G5-1),"")</f>
        <v/>
      </c>
      <c r="I5" s="16">
        <f>IFERROR(IF(OR('Valor cuota (fin de mes)'!I5="",'Valor cuota (fin de mes)'!H5=""),"",'Valor cuota (fin de mes)'!I5/'Valor cuota (fin de mes)'!H5-1),"")</f>
        <v/>
      </c>
      <c r="J5" s="16">
        <f>IFERROR(IF(OR('Valor cuota (fin de mes)'!J5="",'Valor cuota (fin de mes)'!I5=""),"",'Valor cuota (fin de mes)'!J5/'Valor cuota (fin de mes)'!I5-1),"")</f>
        <v/>
      </c>
      <c r="K5" s="16">
        <f>IFERROR(IF(OR('Valor cuota (fin de mes)'!K5="",'Valor cuota (fin de mes)'!J5=""),"",'Valor cuota (fin de mes)'!K5/'Valor cuota (fin de mes)'!J5-1),"")</f>
        <v/>
      </c>
      <c r="L5" s="16">
        <f>IFERROR(IF(OR('Valor cuota (fin de mes)'!L5="",'Valor cuota (fin de mes)'!K5=""),"",'Valor cuota (fin de mes)'!L5/'Valor cuota (fin de mes)'!K5-1),"")</f>
        <v/>
      </c>
      <c r="M5" s="16">
        <f>IFERROR(IF(OR('Valor cuota (fin de mes)'!M5="",'Valor cuota (fin de mes)'!L5=""),"",'Valor cuota (fin de mes)'!M5/'Valor cuota (fin de mes)'!L5-1),"")</f>
        <v/>
      </c>
      <c r="N5" s="16">
        <f>IFERROR(IF(OR('Valor cuota (fin de mes)'!N5="",'Valor cuota (fin de mes)'!M5=""),"",'Valor cuota (fin de mes)'!N5/'Valor cuota (fin de mes)'!M5-1),"")</f>
        <v/>
      </c>
      <c r="O5" s="16">
        <f>IFERROR(IF(OR('Valor cuota (fin de mes)'!O5="",'Valor cuota (fin de mes)'!N5=""),"",'Valor cuota (fin de mes)'!O5/'Valor cuota (fin de mes)'!N5-1),"")</f>
        <v/>
      </c>
      <c r="P5" s="16">
        <f>IFERROR(IF(OR('Valor cuota (fin de mes)'!P5="",'Valor cuota (fin de mes)'!O5=""),"",'Valor cuota (fin de mes)'!P5/'Valor cuota (fin de mes)'!O5-1),"")</f>
        <v/>
      </c>
      <c r="Q5" s="16">
        <f>IFERROR(IF(OR('Valor cuota (fin de mes)'!Q5="",'Valor cuota (fin de mes)'!P5=""),"",'Valor cuota (fin de mes)'!Q5/'Valor cuota (fin de mes)'!P5-1),"")</f>
        <v/>
      </c>
      <c r="R5" s="16">
        <f>IFERROR(IF(OR('Valor cuota (fin de mes)'!R5="",'Valor cuota (fin de mes)'!Q5=""),"",'Valor cuota (fin de mes)'!R5/'Valor cuota (fin de mes)'!Q5-1),"")</f>
        <v/>
      </c>
      <c r="S5" s="16">
        <f>IFERROR(IF(OR('Valor cuota (fin de mes)'!S5="",'Valor cuota (fin de mes)'!R5=""),"",'Valor cuota (fin de mes)'!S5/'Valor cuota (fin de mes)'!R5-1),"")</f>
        <v/>
      </c>
      <c r="T5" s="16">
        <f>IFERROR(IF(OR('Valor cuota (fin de mes)'!T5="",'Valor cuota (fin de mes)'!S5=""),"",'Valor cuota (fin de mes)'!T5/'Valor cuota (fin de mes)'!S5-1),"")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</row>
    <row r="6">
      <c r="A6" s="15" t="inlineStr">
        <is>
          <t>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6">
        <f>IF('Valor cuota (fin de mes)'!L6="","",'Valor cuota (fin de mes)'!L6/'Resumen'!$D$6-1)</f>
        <v/>
      </c>
      <c r="M6" s="16">
        <f>IFERROR(IF(OR('Valor cuota (fin de mes)'!M6="",'Valor cuota (fin de mes)'!L6=""),"",'Valor cuota (fin de mes)'!M6/'Valor cuota (fin de mes)'!L6-1),"")</f>
        <v/>
      </c>
      <c r="N6" s="16">
        <f>IFERROR(IF(OR('Valor cuota (fin de mes)'!N6="",'Valor cuota (fin de mes)'!M6=""),"",'Valor cuota (fin de mes)'!N6/'Valor cuota (fin de mes)'!M6-1),"")</f>
        <v/>
      </c>
      <c r="O6" s="16">
        <f>IFERROR(IF(OR('Valor cuota (fin de mes)'!O6="",'Valor cuota (fin de mes)'!N6=""),"",'Valor cuota (fin de mes)'!O6/'Valor cuota (fin de mes)'!N6-1),"")</f>
        <v/>
      </c>
      <c r="P6" s="16">
        <f>IFERROR(IF(OR('Valor cuota (fin de mes)'!P6="",'Valor cuota (fin de mes)'!O6=""),"",'Valor cuota (fin de mes)'!P6/'Valor cuota (fin de mes)'!O6-1),"")</f>
        <v/>
      </c>
      <c r="Q6" s="16">
        <f>IFERROR(IF(OR('Valor cuota (fin de mes)'!Q6="",'Valor cuota (fin de mes)'!P6=""),"",'Valor cuota (fin de mes)'!Q6/'Valor cuota (fin de mes)'!P6-1),"")</f>
        <v/>
      </c>
      <c r="R6" s="16">
        <f>IFERROR(IF(OR('Valor cuota (fin de mes)'!R6="",'Valor cuota (fin de mes)'!Q6=""),"",'Valor cuota (fin de mes)'!R6/'Valor cuota (fin de mes)'!Q6-1),"")</f>
        <v/>
      </c>
      <c r="S6" s="16">
        <f>IFERROR(IF(OR('Valor cuota (fin de mes)'!S6="",'Valor cuota (fin de mes)'!R6=""),"",'Valor cuota (fin de mes)'!S6/'Valor cuota (fin de mes)'!R6-1),"")</f>
        <v/>
      </c>
      <c r="T6" s="16">
        <f>IFERROR(IF(OR('Valor cuota (fin de mes)'!T6="",'Valor cuota (fin de mes)'!S6=""),"",'Valor cuota (fin de mes)'!T6/'Valor cuota (fin de mes)'!S6-1),"")</f>
        <v/>
      </c>
      <c r="U6" s="16">
        <f>IFERROR(IF(OR('Valor cuota (fin de mes)'!U6="",'Valor cuota (fin de mes)'!T6=""),"",'Valor cuota (fin de mes)'!U6/'Valor cuota (fin de mes)'!T6-1),"")</f>
        <v/>
      </c>
      <c r="V6" s="16">
        <f>IFERROR(IF(OR('Valor cuota (fin de mes)'!V6="",'Valor cuota (fin de mes)'!U6=""),"",'Valor cuota (fin de mes)'!V6/'Valor cuota (fin de mes)'!U6-1),"")</f>
        <v/>
      </c>
      <c r="W6" s="16">
        <f>IFERROR(IF(OR('Valor cuota (fin de mes)'!W6="",'Valor cuota (fin de mes)'!V6=""),"",'Valor cuota (fin de mes)'!W6/'Valor cuota (fin de mes)'!V6-1),"")</f>
        <v/>
      </c>
      <c r="X6" s="16">
        <f>IFERROR(IF(OR('Valor cuota (fin de mes)'!X6="",'Valor cuota (fin de mes)'!W6=""),"",'Valor cuota (fin de mes)'!X6/'Valor cuota (fin de mes)'!W6-1),"")</f>
        <v/>
      </c>
      <c r="Y6" s="16">
        <f>IFERROR(IF(OR('Valor cuota (fin de mes)'!Y6="",'Valor cuota (fin de mes)'!X6=""),"",'Valor cuota (fin de mes)'!Y6/'Valor cuota (fin de mes)'!X6-1),"")</f>
        <v/>
      </c>
      <c r="Z6" s="16">
        <f>IFERROR(IF(OR('Valor cuota (fin de mes)'!Z6="",'Valor cuota (fin de mes)'!Y6=""),"",'Valor cuota (fin de mes)'!Z6/'Valor cuota (fin de mes)'!Y6-1),"")</f>
        <v/>
      </c>
      <c r="AA6" s="16">
        <f>IFERROR(IF(OR('Valor cuota (fin de mes)'!AA6="",'Valor cuota (fin de mes)'!Z6=""),"",'Valor cuota (fin de mes)'!AA6/'Valor cuota (fin de mes)'!Z6-1),"")</f>
        <v/>
      </c>
      <c r="AB6" s="16">
        <f>IFERROR(IF(OR('Valor cuota (fin de mes)'!AB6="",'Valor cuota (fin de mes)'!AA6=""),"",'Valor cuota (fin de mes)'!AB6/'Valor cuota (fin de mes)'!AA6-1),"")</f>
        <v/>
      </c>
      <c r="AC6" s="16">
        <f>IFERROR(IF(OR('Valor cuota (fin de mes)'!AC6="",'Valor cuota (fin de mes)'!AB6=""),"",'Valor cuota (fin de mes)'!AC6/'Valor cuota (fin de mes)'!AB6-1),"")</f>
        <v/>
      </c>
      <c r="AD6" s="16">
        <f>IFERROR(IF(OR('Valor cuota (fin de mes)'!AD6="",'Valor cuota (fin de mes)'!AC6=""),"",'Valor cuota (fin de mes)'!AD6/'Valor cuota (fin de mes)'!AC6-1),"")</f>
        <v/>
      </c>
      <c r="AE6" s="16">
        <f>IFERROR(IF(OR('Valor cuota (fin de mes)'!AE6="",'Valor cuota (fin de mes)'!AD6=""),"",'Valor cuota (fin de mes)'!AE6/'Valor cuota (fin de mes)'!AD6-1),"")</f>
        <v/>
      </c>
      <c r="AF6" s="16">
        <f>IFERROR(IF(OR('Valor cuota (fin de mes)'!AF6="",'Valor cuota (fin de mes)'!AE6=""),"",'Valor cuota (fin de mes)'!AF6/'Valor cuota (fin de mes)'!AE6-1),"")</f>
        <v/>
      </c>
      <c r="AG6" s="16">
        <f>IFERROR(IF(OR('Valor cuota (fin de mes)'!AG6="",'Valor cuota (fin de mes)'!AF6=""),"",'Valor cuota (fin de mes)'!AG6/'Valor cuota (fin de mes)'!AF6-1),"")</f>
        <v/>
      </c>
      <c r="AH6" s="16">
        <f>IFERROR(IF(OR('Valor cuota (fin de mes)'!AH6="",'Valor cuota (fin de mes)'!AG6=""),"",'Valor cuota (fin de mes)'!AH6/'Valor cuota (fin de mes)'!AG6-1),"")</f>
        <v/>
      </c>
      <c r="AI6" s="16">
        <f>IFERROR(IF(OR('Valor cuota (fin de mes)'!AI6="",'Valor cuota (fin de mes)'!AH6=""),"",'Valor cuota (fin de mes)'!AI6/'Valor cuota (fin de mes)'!AH6-1),"")</f>
        <v/>
      </c>
      <c r="AJ6" s="16">
        <f>IFERROR(IF(OR('Valor cuota (fin de mes)'!AJ6="",'Valor cuota (fin de mes)'!AI6=""),"",'Valor cuota (fin de mes)'!AJ6/'Valor cuota (fin de mes)'!AI6-1),"")</f>
        <v/>
      </c>
      <c r="AK6" s="16">
        <f>IFERROR(IF(OR('Valor cuota (fin de mes)'!AK6="",'Valor cuota (fin de mes)'!AJ6=""),"",'Valor cuota (fin de mes)'!AK6/'Valor cuota (fin de mes)'!AJ6-1),"")</f>
        <v/>
      </c>
      <c r="AL6" s="16">
        <f>IFERROR(IF(OR('Valor cuota (fin de mes)'!AL6="",'Valor cuota (fin de mes)'!AK6=""),"",'Valor cuota (fin de mes)'!AL6/'Valor cuota (fin de mes)'!AK6-1),"")</f>
        <v/>
      </c>
      <c r="AM6" s="16">
        <f>IFERROR(IF(OR('Valor cuota (fin de mes)'!AM6="",'Valor cuota (fin de mes)'!AL6=""),"",'Valor cuota (fin de mes)'!AM6/'Valor cuota (fin de mes)'!AL6-1),"")</f>
        <v/>
      </c>
    </row>
    <row r="7">
      <c r="A7" s="15" t="inlineStr">
        <is>
          <t>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6">
        <f>IF('Valor cuota (fin de mes)'!AA7="","",'Valor cuota (fin de mes)'!AA7/'Resumen'!$D$7-1)</f>
        <v/>
      </c>
      <c r="AB7" s="16">
        <f>IFERROR(IF(OR('Valor cuota (fin de mes)'!AB7="",'Valor cuota (fin de mes)'!AA7=""),"",'Valor cuota (fin de mes)'!AB7/'Valor cuota (fin de mes)'!AA7-1),"")</f>
        <v/>
      </c>
      <c r="AC7" s="16">
        <f>IFERROR(IF(OR('Valor cuota (fin de mes)'!AC7="",'Valor cuota (fin de mes)'!AB7=""),"",'Valor cuota (fin de mes)'!AC7/'Valor cuota (fin de mes)'!AB7-1),"")</f>
        <v/>
      </c>
      <c r="AD7" s="16">
        <f>IFERROR(IF(OR('Valor cuota (fin de mes)'!AD7="",'Valor cuota (fin de mes)'!AC7=""),"",'Valor cuota (fin de mes)'!AD7/'Valor cuota (fin de mes)'!AC7-1),"")</f>
        <v/>
      </c>
      <c r="AE7" s="16">
        <f>IFERROR(IF(OR('Valor cuota (fin de mes)'!AE7="",'Valor cuota (fin de mes)'!AD7=""),"",'Valor cuota (fin de mes)'!AE7/'Valor cuota (fin de mes)'!AD7-1),"")</f>
        <v/>
      </c>
      <c r="AF7" s="16">
        <f>IFERROR(IF(OR('Valor cuota (fin de mes)'!AF7="",'Valor cuota (fin de mes)'!AE7=""),"",'Valor cuota (fin de mes)'!AF7/'Valor cuota (fin de mes)'!AE7-1),"")</f>
        <v/>
      </c>
      <c r="AG7" s="16">
        <f>IFERROR(IF(OR('Valor cuota (fin de mes)'!AG7="",'Valor cuota (fin de mes)'!AF7=""),"",'Valor cuota (fin de mes)'!AG7/'Valor cuota (fin de mes)'!AF7-1),"")</f>
        <v/>
      </c>
      <c r="AH7" s="16">
        <f>IFERROR(IF(OR('Valor cuota (fin de mes)'!AH7="",'Valor cuota (fin de mes)'!AG7=""),"",'Valor cuota (fin de mes)'!AH7/'Valor cuota (fin de mes)'!AG7-1),"")</f>
        <v/>
      </c>
      <c r="AI7" s="16">
        <f>IFERROR(IF(OR('Valor cuota (fin de mes)'!AI7="",'Valor cuota (fin de mes)'!AH7=""),"",'Valor cuota (fin de mes)'!AI7/'Valor cuota (fin de mes)'!AH7-1),"")</f>
        <v/>
      </c>
      <c r="AJ7" s="16">
        <f>IFERROR(IF(OR('Valor cuota (fin de mes)'!AJ7="",'Valor cuota (fin de mes)'!AI7=""),"",'Valor cuota (fin de mes)'!AJ7/'Valor cuota (fin de mes)'!AI7-1),"")</f>
        <v/>
      </c>
      <c r="AK7" s="16">
        <f>IFERROR(IF(OR('Valor cuota (fin de mes)'!AK7="",'Valor cuota (fin de mes)'!AJ7=""),"",'Valor cuota (fin de mes)'!AK7/'Valor cuota (fin de mes)'!AJ7-1),"")</f>
        <v/>
      </c>
      <c r="AL7" s="16">
        <f>IFERROR(IF(OR('Valor cuota (fin de mes)'!AL7="",'Valor cuota (fin de mes)'!AK7=""),"",'Valor cuota (fin de mes)'!AL7/'Valor cuota (fin de mes)'!AK7-1),"")</f>
        <v/>
      </c>
      <c r="AM7" s="16">
        <f>IFERROR(IF(OR('Valor cuota (fin de mes)'!AM7="",'Valor cuota (fin de mes)'!AL7=""),"",'Valor cuota (fin de mes)'!AM7/'Valor cuota (fin de mes)'!AL7-1),"")</f>
        <v/>
      </c>
    </row>
    <row r="8">
      <c r="A8" s="15" t="inlineStr">
        <is>
          <t>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6">
        <f>IF('Valor cuota (fin de mes)'!AD8="","",'Valor cuota (fin de mes)'!AD8/'Resumen'!$D$8-1)</f>
        <v/>
      </c>
      <c r="AE8" s="16">
        <f>IFERROR(IF(OR('Valor cuota (fin de mes)'!AE8="",'Valor cuota (fin de mes)'!AD8=""),"",'Valor cuota (fin de mes)'!AE8/'Valor cuota (fin de mes)'!AD8-1),"")</f>
        <v/>
      </c>
      <c r="AF8" s="16">
        <f>IFERROR(IF(OR('Valor cuota (fin de mes)'!AF8="",'Valor cuota (fin de mes)'!AE8=""),"",'Valor cuota (fin de mes)'!AF8/'Valor cuota (fin de mes)'!AE8-1),"")</f>
        <v/>
      </c>
      <c r="AG8" s="16">
        <f>IFERROR(IF(OR('Valor cuota (fin de mes)'!AG8="",'Valor cuota (fin de mes)'!AF8=""),"",'Valor cuota (fin de mes)'!AG8/'Valor cuota (fin de mes)'!AF8-1),"")</f>
        <v/>
      </c>
      <c r="AH8" s="16">
        <f>IFERROR(IF(OR('Valor cuota (fin de mes)'!AH8="",'Valor cuota (fin de mes)'!AG8=""),"",'Valor cuota (fin de mes)'!AH8/'Valor cuota (fin de mes)'!AG8-1),"")</f>
        <v/>
      </c>
      <c r="AI8" s="16">
        <f>IFERROR(IF(OR('Valor cuota (fin de mes)'!AI8="",'Valor cuota (fin de mes)'!AH8=""),"",'Valor cuota (fin de mes)'!AI8/'Valor cuota (fin de mes)'!AH8-1),"")</f>
        <v/>
      </c>
      <c r="AJ8" s="16">
        <f>IFERROR(IF(OR('Valor cuota (fin de mes)'!AJ8="",'Valor cuota (fin de mes)'!AI8=""),"",'Valor cuota (fin de mes)'!AJ8/'Valor cuota (fin de mes)'!AI8-1),"")</f>
        <v/>
      </c>
      <c r="AK8" s="16">
        <f>IFERROR(IF(OR('Valor cuota (fin de mes)'!AK8="",'Valor cuota (fin de mes)'!AJ8=""),"",'Valor cuota (fin de mes)'!AK8/'Valor cuota (fin de mes)'!AJ8-1),"")</f>
        <v/>
      </c>
      <c r="AL8" s="16">
        <f>IFERROR(IF(OR('Valor cuota (fin de mes)'!AL8="",'Valor cuota (fin de mes)'!AK8=""),"",'Valor cuota (fin de mes)'!AL8/'Valor cuota (fin de mes)'!AK8-1),"")</f>
        <v/>
      </c>
      <c r="AM8" s="16">
        <f>IFERROR(IF(OR('Valor cuota (fin de mes)'!AM8="",'Valor cuota (fin de mes)'!AL8=""),"",'Valor cuota (fin de mes)'!AM8/'Valor cuota (fin de mes)'!AL8-1),"")</f>
        <v/>
      </c>
    </row>
    <row r="9">
      <c r="A9" s="15" t="inlineStr">
        <is>
          <t>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6">
        <f>IF('Valor cuota (fin de mes)'!AL9="","",'Valor cuota (fin de mes)'!AL9/'Resumen'!$D$9-1)</f>
        <v/>
      </c>
      <c r="AM9" s="16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2023</t>
        </is>
      </c>
      <c r="C3" s="14" t="inlineStr">
        <is>
          <t>2024</t>
        </is>
      </c>
      <c r="D3" s="14" t="inlineStr">
        <is>
          <t>2025</t>
        </is>
      </c>
      <c r="E3" s="14" t="inlineStr">
        <is>
          <t>2026 (YTD)</t>
        </is>
      </c>
    </row>
    <row r="4">
      <c r="A4" s="15" t="inlineStr">
        <is>
          <t>FI Abierto Hencorp Opportunity</t>
        </is>
      </c>
      <c r="B4" s="16">
        <f>'Rendimiento mensual'!I4</f>
        <v/>
      </c>
      <c r="C4" s="16">
        <f>'Rendimiento mensual'!U4</f>
        <v/>
      </c>
      <c r="D4" s="16">
        <f>'Rendimiento mensual'!AG4</f>
        <v/>
      </c>
      <c r="E4" s="16">
        <f>'Rendimiento mensual'!AM4</f>
        <v/>
      </c>
    </row>
    <row r="5">
      <c r="A5" s="15" t="inlineStr">
        <is>
          <t>FIC Renta Fija I</t>
        </is>
      </c>
      <c r="B5" s="16">
        <f>'Rendimiento mensual'!I5</f>
        <v/>
      </c>
      <c r="C5" s="16">
        <f>'Rendimiento mensual'!U5</f>
        <v/>
      </c>
      <c r="D5" s="16">
        <f>'Rendimiento mensual'!AG5</f>
        <v/>
      </c>
      <c r="E5" s="16">
        <f>'Rendimiento mensual'!AM5</f>
        <v/>
      </c>
    </row>
    <row r="6">
      <c r="A6" s="15" t="inlineStr">
        <is>
          <t>FIC Inmobiliario Hencorp Growth</t>
        </is>
      </c>
      <c r="B6" s="17" t="n"/>
      <c r="C6" s="16">
        <f>'Rendimiento mensual'!U6</f>
        <v/>
      </c>
      <c r="D6" s="16">
        <f>'Rendimiento mensual'!AG6</f>
        <v/>
      </c>
      <c r="E6" s="16">
        <f>'Rendimiento mensual'!AM6</f>
        <v/>
      </c>
    </row>
    <row r="7">
      <c r="A7" s="15" t="inlineStr">
        <is>
          <t>FIC Desarrollo Inmob. Hencorp Vivienda 01</t>
        </is>
      </c>
      <c r="B7" s="17" t="n"/>
      <c r="C7" s="17" t="n"/>
      <c r="D7" s="16">
        <f>'Rendimiento mensual'!AG7</f>
        <v/>
      </c>
      <c r="E7" s="16">
        <f>'Rendimiento mensual'!AM7</f>
        <v/>
      </c>
    </row>
    <row r="8">
      <c r="A8" s="15" t="inlineStr">
        <is>
          <t>FIC Inmobiliario Hencorp Blue Whale</t>
        </is>
      </c>
      <c r="B8" s="17" t="n"/>
      <c r="C8" s="17" t="n"/>
      <c r="D8" s="16">
        <f>'Rendimiento mensual'!AG8</f>
        <v/>
      </c>
      <c r="E8" s="16">
        <f>'Rendimiento mensual'!AM8</f>
        <v/>
      </c>
    </row>
    <row r="9">
      <c r="A9" s="15" t="inlineStr">
        <is>
          <t>FIC Inmobiliario Hencorp Commercial Properties</t>
        </is>
      </c>
      <c r="B9" s="17" t="n"/>
      <c r="C9" s="17" t="n"/>
      <c r="D9" s="17" t="n"/>
      <c r="E9" s="16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2023</t>
        </is>
      </c>
      <c r="C3" s="14" t="inlineStr">
        <is>
          <t>2024</t>
        </is>
      </c>
      <c r="D3" s="14" t="inlineStr">
        <is>
          <t>2025</t>
        </is>
      </c>
      <c r="E3" s="14" t="inlineStr">
        <is>
          <t>2026 (YTD)</t>
        </is>
      </c>
    </row>
    <row r="4">
      <c r="A4" s="15" t="inlineStr">
        <is>
          <t>FI Abierto Hencorp Opportunity</t>
        </is>
      </c>
      <c r="B4" s="16">
        <f>IFERROR('Valor cuota (fin de mes)'!I4/'Resumen'!$D$4-1,"")</f>
        <v/>
      </c>
      <c r="C4" s="16">
        <f>IFERROR('Valor cuota (fin de mes)'!U4/'Valor cuota (fin de mes)'!I4-1,"")</f>
        <v/>
      </c>
      <c r="D4" s="16">
        <f>IFERROR('Valor cuota (fin de mes)'!AG4/'Valor cuota (fin de mes)'!U4-1,"")</f>
        <v/>
      </c>
      <c r="E4" s="16">
        <f>IFERROR('Valor cuota (fin de mes)'!AM4/'Valor cuota (fin de mes)'!AG4-1,"")</f>
        <v/>
      </c>
    </row>
    <row r="5">
      <c r="A5" s="15" t="inlineStr">
        <is>
          <t>FIC Renta Fija I</t>
        </is>
      </c>
      <c r="B5" s="16">
        <f>IFERROR('Valor cuota (fin de mes)'!I5/'Resumen'!$D$5-1,"")</f>
        <v/>
      </c>
      <c r="C5" s="16">
        <f>IFERROR('Valor cuota (fin de mes)'!U5/'Valor cuota (fin de mes)'!I5-1,"")</f>
        <v/>
      </c>
      <c r="D5" s="16">
        <f>IFERROR('Valor cuota (fin de mes)'!AG5/'Valor cuota (fin de mes)'!U5-1,"")</f>
        <v/>
      </c>
      <c r="E5" s="16">
        <f>IFERROR('Valor cuota (fin de mes)'!AM5/'Valor cuota (fin de mes)'!AG5-1,"")</f>
        <v/>
      </c>
    </row>
    <row r="6">
      <c r="A6" s="15" t="inlineStr">
        <is>
          <t>FIC Inmobiliario Hencorp Growth</t>
        </is>
      </c>
      <c r="B6" s="17" t="n"/>
      <c r="C6" s="16">
        <f>IFERROR('Valor cuota (fin de mes)'!U6/'Resumen'!$D$6-1,"")</f>
        <v/>
      </c>
      <c r="D6" s="16">
        <f>IFERROR('Valor cuota (fin de mes)'!AG6/'Valor cuota (fin de mes)'!U6-1,"")</f>
        <v/>
      </c>
      <c r="E6" s="16">
        <f>IFERROR('Valor cuota (fin de mes)'!AM6/'Valor cuota (fin de mes)'!AG6-1,"")</f>
        <v/>
      </c>
    </row>
    <row r="7">
      <c r="A7" s="15" t="inlineStr">
        <is>
          <t>FIC Desarrollo Inmob. Hencorp Vivienda 01</t>
        </is>
      </c>
      <c r="B7" s="17" t="n"/>
      <c r="C7" s="17" t="n"/>
      <c r="D7" s="16">
        <f>IFERROR('Valor cuota (fin de mes)'!AG7/'Resumen'!$D$7-1,"")</f>
        <v/>
      </c>
      <c r="E7" s="16">
        <f>IFERROR('Valor cuota (fin de mes)'!AM7/'Valor cuota (fin de mes)'!AG7-1,"")</f>
        <v/>
      </c>
    </row>
    <row r="8">
      <c r="A8" s="15" t="inlineStr">
        <is>
          <t>FIC Inmobiliario Hencorp Blue Whale</t>
        </is>
      </c>
      <c r="B8" s="17" t="n"/>
      <c r="C8" s="17" t="n"/>
      <c r="D8" s="16">
        <f>IFERROR('Valor cuota (fin de mes)'!AG8/'Resumen'!$D$8-1,"")</f>
        <v/>
      </c>
      <c r="E8" s="16">
        <f>IFERROR('Valor cuota (fin de mes)'!AM8/'Valor cuota (fin de mes)'!AG8-1,"")</f>
        <v/>
      </c>
    </row>
    <row r="9">
      <c r="A9" s="15" t="inlineStr">
        <is>
          <t>FIC Inmobiliario Hencorp Commercial Properties</t>
        </is>
      </c>
      <c r="B9" s="17" t="n"/>
      <c r="C9" s="17" t="n"/>
      <c r="D9" s="17" t="n"/>
      <c r="E9" s="16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>
      <c r="A3" s="13" t="inlineStr">
        <is>
          <t>Fondo</t>
        </is>
      </c>
      <c r="B3" s="14" t="inlineStr">
        <is>
          <t>may-2023</t>
        </is>
      </c>
      <c r="C3" s="14" t="inlineStr">
        <is>
          <t>jun-2023</t>
        </is>
      </c>
      <c r="D3" s="14" t="inlineStr">
        <is>
          <t>jul-2023</t>
        </is>
      </c>
      <c r="E3" s="14" t="inlineStr">
        <is>
          <t>ago-2023</t>
        </is>
      </c>
      <c r="F3" s="14" t="inlineStr">
        <is>
          <t>sep-2023</t>
        </is>
      </c>
      <c r="G3" s="14" t="inlineStr">
        <is>
          <t>oct-2023</t>
        </is>
      </c>
      <c r="H3" s="14" t="inlineStr">
        <is>
          <t>nov-2023</t>
        </is>
      </c>
      <c r="I3" s="14" t="inlineStr">
        <is>
          <t>dic-2023</t>
        </is>
      </c>
      <c r="J3" s="14" t="inlineStr">
        <is>
          <t>ene-2024</t>
        </is>
      </c>
      <c r="K3" s="14" t="inlineStr">
        <is>
          <t>feb-2024</t>
        </is>
      </c>
      <c r="L3" s="14" t="inlineStr">
        <is>
          <t>mar-2024</t>
        </is>
      </c>
      <c r="M3" s="14" t="inlineStr">
        <is>
          <t>abr-2024</t>
        </is>
      </c>
      <c r="N3" s="14" t="inlineStr">
        <is>
          <t>may-2024</t>
        </is>
      </c>
      <c r="O3" s="14" t="inlineStr">
        <is>
          <t>jun-2024</t>
        </is>
      </c>
      <c r="P3" s="14" t="inlineStr">
        <is>
          <t>jul-2024</t>
        </is>
      </c>
      <c r="Q3" s="14" t="inlineStr">
        <is>
          <t>ago-2024</t>
        </is>
      </c>
      <c r="R3" s="14" t="inlineStr">
        <is>
          <t>sep-2024</t>
        </is>
      </c>
      <c r="S3" s="14" t="inlineStr">
        <is>
          <t>oct-2024</t>
        </is>
      </c>
      <c r="T3" s="14" t="inlineStr">
        <is>
          <t>nov-2024</t>
        </is>
      </c>
      <c r="U3" s="14" t="inlineStr">
        <is>
          <t>dic-2024</t>
        </is>
      </c>
      <c r="V3" s="14" t="inlineStr">
        <is>
          <t>ene-2025</t>
        </is>
      </c>
      <c r="W3" s="14" t="inlineStr">
        <is>
          <t>feb-2025</t>
        </is>
      </c>
      <c r="X3" s="14" t="inlineStr">
        <is>
          <t>mar-2025</t>
        </is>
      </c>
      <c r="Y3" s="14" t="inlineStr">
        <is>
          <t>abr-2025</t>
        </is>
      </c>
      <c r="Z3" s="14" t="inlineStr">
        <is>
          <t>may-2025</t>
        </is>
      </c>
      <c r="AA3" s="14" t="inlineStr">
        <is>
          <t>jun-2025</t>
        </is>
      </c>
      <c r="AB3" s="14" t="inlineStr">
        <is>
          <t>jul-2025</t>
        </is>
      </c>
      <c r="AC3" s="14" t="inlineStr">
        <is>
          <t>ago-2025</t>
        </is>
      </c>
      <c r="AD3" s="14" t="inlineStr">
        <is>
          <t>sep-2025</t>
        </is>
      </c>
      <c r="AE3" s="14" t="inlineStr">
        <is>
          <t>oct-2025</t>
        </is>
      </c>
      <c r="AF3" s="14" t="inlineStr">
        <is>
          <t>nov-2025</t>
        </is>
      </c>
      <c r="AG3" s="14" t="inlineStr">
        <is>
          <t>dic-2025</t>
        </is>
      </c>
      <c r="AH3" s="14" t="inlineStr">
        <is>
          <t>ene-2026</t>
        </is>
      </c>
      <c r="AI3" s="14" t="inlineStr">
        <is>
          <t>feb-2026</t>
        </is>
      </c>
      <c r="AJ3" s="14" t="inlineStr">
        <is>
          <t>mar-2026</t>
        </is>
      </c>
      <c r="AK3" s="14" t="inlineStr">
        <is>
          <t>abr-2026</t>
        </is>
      </c>
      <c r="AL3" s="14" t="inlineStr">
        <is>
          <t>may-2026</t>
        </is>
      </c>
      <c r="AM3" s="14" t="inlineStr">
        <is>
          <t>jun-2026*</t>
        </is>
      </c>
    </row>
    <row r="4">
      <c r="A4" s="15" t="inlineStr">
        <is>
          <t>FI Abierto Hencorp Opportunity</t>
        </is>
      </c>
      <c r="B4" s="18" t="n">
        <v>1.00423183</v>
      </c>
      <c r="C4" s="18" t="n">
        <v>1.00851811</v>
      </c>
      <c r="D4" s="18" t="n">
        <v>1.01286677</v>
      </c>
      <c r="E4" s="18" t="n">
        <v>1.01737632</v>
      </c>
      <c r="F4" s="18" t="n">
        <v>1.02180891</v>
      </c>
      <c r="G4" s="18" t="n">
        <v>1.02638792</v>
      </c>
      <c r="H4" s="18" t="n">
        <v>1.03068437</v>
      </c>
      <c r="I4" s="18" t="n">
        <v>1.03594791</v>
      </c>
      <c r="J4" s="18" t="n">
        <v>1.04060634</v>
      </c>
      <c r="K4" s="18" t="n">
        <v>1.04489634</v>
      </c>
      <c r="L4" s="18" t="n">
        <v>1.04941554</v>
      </c>
      <c r="M4" s="18" t="n">
        <v>1.05393309</v>
      </c>
      <c r="N4" s="18" t="n">
        <v>1.05921788</v>
      </c>
      <c r="O4" s="18" t="n">
        <v>1.06405954</v>
      </c>
      <c r="P4" s="18" t="n">
        <v>1.06880749</v>
      </c>
      <c r="Q4" s="18" t="n">
        <v>1.07350923</v>
      </c>
      <c r="R4" s="18" t="n">
        <v>1.07807247</v>
      </c>
      <c r="S4" s="18" t="n">
        <v>1.08310817</v>
      </c>
      <c r="T4" s="18" t="n">
        <v>1.08765379</v>
      </c>
      <c r="U4" s="18" t="n">
        <v>1.09246779</v>
      </c>
      <c r="V4" s="18" t="n">
        <v>1.09725767</v>
      </c>
      <c r="W4" s="18" t="n">
        <v>1.10156005</v>
      </c>
      <c r="X4" s="18" t="n">
        <v>1.1064724</v>
      </c>
      <c r="Y4" s="18" t="n">
        <v>1.1113874</v>
      </c>
      <c r="Z4" s="18" t="n">
        <v>1.1162905</v>
      </c>
      <c r="AA4" s="18" t="n">
        <v>1.12098934</v>
      </c>
      <c r="AB4" s="18" t="n">
        <v>1.12591617</v>
      </c>
      <c r="AC4" s="18" t="n">
        <v>1.1307494</v>
      </c>
      <c r="AD4" s="18" t="n">
        <v>1.13541385</v>
      </c>
      <c r="AE4" s="18" t="n">
        <v>1.1399574</v>
      </c>
      <c r="AF4" s="18" t="n">
        <v>1.1441651</v>
      </c>
      <c r="AG4" s="18" t="n">
        <v>1.14880662</v>
      </c>
      <c r="AH4" s="18" t="n">
        <v>1.15334745</v>
      </c>
      <c r="AI4" s="18" t="n">
        <v>1.15765366</v>
      </c>
      <c r="AJ4" s="18" t="n">
        <v>1.16238308</v>
      </c>
      <c r="AK4" s="18" t="n">
        <v>1.16695592</v>
      </c>
      <c r="AL4" s="18" t="n">
        <v>1.17156713</v>
      </c>
      <c r="AM4" s="18" t="n">
        <v>1.17258825</v>
      </c>
    </row>
    <row r="5">
      <c r="A5" s="15" t="inlineStr">
        <is>
          <t>FIC Renta Fija I</t>
        </is>
      </c>
      <c r="B5" s="17" t="n"/>
      <c r="C5" s="17" t="n"/>
      <c r="D5" s="17" t="n"/>
      <c r="E5" s="17" t="n"/>
      <c r="F5" s="17" t="n"/>
      <c r="G5" s="18" t="n">
        <v>1004.09144278</v>
      </c>
      <c r="H5" s="18" t="n">
        <v>1011.0099487</v>
      </c>
      <c r="I5" s="18" t="n">
        <v>1017.96659706</v>
      </c>
      <c r="J5" s="18" t="n">
        <v>1025.14346038</v>
      </c>
      <c r="K5" s="18" t="n">
        <v>1032.20248796</v>
      </c>
      <c r="L5" s="18" t="n">
        <v>1039.54721904</v>
      </c>
      <c r="M5" s="18" t="n">
        <v>1046.94962196</v>
      </c>
      <c r="N5" s="18" t="n">
        <v>1038.79801282</v>
      </c>
      <c r="O5" s="18" t="n">
        <v>1038.73963073</v>
      </c>
      <c r="P5" s="18" t="n">
        <v>1046.11990289</v>
      </c>
      <c r="Q5" s="18" t="n">
        <v>1048.78381728</v>
      </c>
      <c r="R5" s="18" t="n">
        <v>1048.88057204</v>
      </c>
      <c r="S5" s="18" t="n">
        <v>1056.23476444</v>
      </c>
      <c r="T5" s="18" t="n">
        <v>1039.2837166</v>
      </c>
      <c r="U5" s="18" t="n">
        <v>1039.39137872</v>
      </c>
      <c r="V5" s="18" t="n">
        <v>1046.78438142</v>
      </c>
      <c r="W5" s="18" t="n">
        <v>1048.59158427</v>
      </c>
      <c r="X5" s="18" t="n">
        <v>1048.62757398</v>
      </c>
      <c r="Y5" s="18" t="n">
        <v>1052.68185863</v>
      </c>
      <c r="Z5" s="18" t="n">
        <v>1039.65174142</v>
      </c>
      <c r="AA5" s="18" t="n">
        <v>1039.66382327</v>
      </c>
      <c r="AB5" s="18" t="n">
        <v>1047.08970311</v>
      </c>
      <c r="AC5" s="18" t="n">
        <v>1049.32316732</v>
      </c>
      <c r="AD5" s="18" t="n">
        <v>1049.37284131</v>
      </c>
      <c r="AE5" s="18" t="n">
        <v>1053.0409806</v>
      </c>
      <c r="AF5" s="18" t="n">
        <v>1040.26771081</v>
      </c>
      <c r="AG5" s="18" t="n">
        <v>1040.24449295</v>
      </c>
      <c r="AH5" s="18" t="n">
        <v>1047.59102573</v>
      </c>
      <c r="AI5" s="18" t="n">
        <v>1049.70902717</v>
      </c>
      <c r="AJ5" s="18" t="n">
        <v>1049.74586665</v>
      </c>
      <c r="AK5" s="18" t="n">
        <v>1053.35521135</v>
      </c>
      <c r="AL5" s="18" t="n">
        <v>1040.78664211</v>
      </c>
      <c r="AM5" s="18" t="n">
        <v>1042.49173018</v>
      </c>
    </row>
    <row r="6">
      <c r="A6" s="15" t="inlineStr">
        <is>
          <t>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8" t="n">
        <v>1001.83099097</v>
      </c>
      <c r="M6" s="18" t="n">
        <v>1007.32048824</v>
      </c>
      <c r="N6" s="18" t="n">
        <v>1012.63689125</v>
      </c>
      <c r="O6" s="18" t="n">
        <v>1018.14124681</v>
      </c>
      <c r="P6" s="18" t="n">
        <v>1023.69175367</v>
      </c>
      <c r="Q6" s="18" t="n">
        <v>1006.15415627</v>
      </c>
      <c r="R6" s="18" t="n">
        <v>1011.76664506</v>
      </c>
      <c r="S6" s="18" t="n">
        <v>1017.3694759</v>
      </c>
      <c r="T6" s="18" t="n">
        <v>1023.01585337</v>
      </c>
      <c r="U6" s="18" t="n">
        <v>1028.59854665</v>
      </c>
      <c r="V6" s="18" t="n">
        <v>1034.18048327</v>
      </c>
      <c r="W6" s="18" t="n">
        <v>1039.58412194</v>
      </c>
      <c r="X6" s="18" t="n">
        <v>1184.04298901</v>
      </c>
      <c r="Y6" s="18" t="n">
        <v>1188.8576411</v>
      </c>
      <c r="Z6" s="18" t="n">
        <v>1194.28585921</v>
      </c>
      <c r="AA6" s="18" t="n">
        <v>1199.79383655</v>
      </c>
      <c r="AB6" s="18" t="n">
        <v>1204.57731853</v>
      </c>
      <c r="AC6" s="18" t="n">
        <v>1210.22792737</v>
      </c>
      <c r="AD6" s="18" t="n">
        <v>1215.8873909</v>
      </c>
      <c r="AE6" s="18" t="n">
        <v>1221.49674767</v>
      </c>
      <c r="AF6" s="18" t="n">
        <v>1236.14634118</v>
      </c>
      <c r="AG6" s="18" t="n">
        <v>1173.47877429</v>
      </c>
      <c r="AH6" s="18" t="n">
        <v>1179.42576897</v>
      </c>
      <c r="AI6" s="18" t="n">
        <v>1185.1761424</v>
      </c>
      <c r="AJ6" s="18" t="n">
        <v>1198.32949256</v>
      </c>
      <c r="AK6" s="18" t="n">
        <v>1209.68635681</v>
      </c>
      <c r="AL6" s="18" t="n">
        <v>1214.97636887</v>
      </c>
      <c r="AM6" s="18" t="n">
        <v>1216.13098361</v>
      </c>
    </row>
    <row r="7">
      <c r="A7" s="15" t="inlineStr">
        <is>
          <t>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8" t="n">
        <v>996.69380658</v>
      </c>
      <c r="AB7" s="18" t="n">
        <v>993.41423131</v>
      </c>
      <c r="AC7" s="18" t="n">
        <v>991.64456996</v>
      </c>
      <c r="AD7" s="18" t="n">
        <v>991.08258792</v>
      </c>
      <c r="AE7" s="18" t="n">
        <v>984.15311095</v>
      </c>
      <c r="AF7" s="18" t="n">
        <v>977.390185</v>
      </c>
      <c r="AG7" s="18" t="n">
        <v>971.7769431200001</v>
      </c>
      <c r="AH7" s="18" t="n">
        <v>956.22122766</v>
      </c>
      <c r="AI7" s="18" t="n">
        <v>1105.73852819</v>
      </c>
      <c r="AJ7" s="18" t="n">
        <v>1101.97686761</v>
      </c>
      <c r="AK7" s="18" t="n">
        <v>1187.45644161</v>
      </c>
      <c r="AL7" s="18" t="n">
        <v>1182.57405739</v>
      </c>
      <c r="AM7" s="18" t="n">
        <v>1181.52512648</v>
      </c>
    </row>
    <row r="8">
      <c r="A8" s="15" t="inlineStr">
        <is>
          <t>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8" t="n">
        <v>1000.02298857</v>
      </c>
      <c r="AE8" s="18" t="n">
        <v>1000.55502286</v>
      </c>
      <c r="AF8" s="18" t="n">
        <v>1007.72246141</v>
      </c>
      <c r="AG8" s="18" t="n">
        <v>1013.00951842</v>
      </c>
      <c r="AH8" s="18" t="n">
        <v>1013.17565548</v>
      </c>
      <c r="AI8" s="18" t="n">
        <v>1018.63825684</v>
      </c>
      <c r="AJ8" s="18" t="n">
        <v>1023.85243466</v>
      </c>
      <c r="AK8" s="18" t="n">
        <v>1005.50033546</v>
      </c>
      <c r="AL8" s="18" t="n">
        <v>1010.82006174</v>
      </c>
      <c r="AM8" s="18" t="n">
        <v>1011.37660424</v>
      </c>
    </row>
    <row r="9">
      <c r="A9" s="15" t="inlineStr">
        <is>
          <t>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8" t="n">
        <v>1003.87798224</v>
      </c>
      <c r="AM9" s="18" t="n">
        <v>1006.74464093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>
      <c r="A3" s="13" t="inlineStr">
        <is>
          <t>Fondo</t>
        </is>
      </c>
      <c r="B3" s="14" t="inlineStr">
        <is>
          <t>may-2023</t>
        </is>
      </c>
      <c r="C3" s="14" t="inlineStr">
        <is>
          <t>jun-2023</t>
        </is>
      </c>
      <c r="D3" s="14" t="inlineStr">
        <is>
          <t>jul-2023</t>
        </is>
      </c>
      <c r="E3" s="14" t="inlineStr">
        <is>
          <t>ago-2023</t>
        </is>
      </c>
      <c r="F3" s="14" t="inlineStr">
        <is>
          <t>sep-2023</t>
        </is>
      </c>
      <c r="G3" s="14" t="inlineStr">
        <is>
          <t>oct-2023</t>
        </is>
      </c>
      <c r="H3" s="14" t="inlineStr">
        <is>
          <t>nov-2023</t>
        </is>
      </c>
      <c r="I3" s="14" t="inlineStr">
        <is>
          <t>dic-2023</t>
        </is>
      </c>
      <c r="J3" s="14" t="inlineStr">
        <is>
          <t>ene-2024</t>
        </is>
      </c>
      <c r="K3" s="14" t="inlineStr">
        <is>
          <t>feb-2024</t>
        </is>
      </c>
      <c r="L3" s="14" t="inlineStr">
        <is>
          <t>mar-2024</t>
        </is>
      </c>
      <c r="M3" s="14" t="inlineStr">
        <is>
          <t>abr-2024</t>
        </is>
      </c>
      <c r="N3" s="14" t="inlineStr">
        <is>
          <t>may-2024</t>
        </is>
      </c>
      <c r="O3" s="14" t="inlineStr">
        <is>
          <t>jun-2024</t>
        </is>
      </c>
      <c r="P3" s="14" t="inlineStr">
        <is>
          <t>jul-2024</t>
        </is>
      </c>
      <c r="Q3" s="14" t="inlineStr">
        <is>
          <t>ago-2024</t>
        </is>
      </c>
      <c r="R3" s="14" t="inlineStr">
        <is>
          <t>sep-2024</t>
        </is>
      </c>
      <c r="S3" s="14" t="inlineStr">
        <is>
          <t>oct-2024</t>
        </is>
      </c>
      <c r="T3" s="14" t="inlineStr">
        <is>
          <t>nov-2024</t>
        </is>
      </c>
      <c r="U3" s="14" t="inlineStr">
        <is>
          <t>dic-2024</t>
        </is>
      </c>
      <c r="V3" s="14" t="inlineStr">
        <is>
          <t>ene-2025</t>
        </is>
      </c>
      <c r="W3" s="14" t="inlineStr">
        <is>
          <t>feb-2025</t>
        </is>
      </c>
      <c r="X3" s="14" t="inlineStr">
        <is>
          <t>mar-2025</t>
        </is>
      </c>
      <c r="Y3" s="14" t="inlineStr">
        <is>
          <t>abr-2025</t>
        </is>
      </c>
      <c r="Z3" s="14" t="inlineStr">
        <is>
          <t>may-2025</t>
        </is>
      </c>
      <c r="AA3" s="14" t="inlineStr">
        <is>
          <t>jun-2025</t>
        </is>
      </c>
      <c r="AB3" s="14" t="inlineStr">
        <is>
          <t>jul-2025</t>
        </is>
      </c>
      <c r="AC3" s="14" t="inlineStr">
        <is>
          <t>ago-2025</t>
        </is>
      </c>
      <c r="AD3" s="14" t="inlineStr">
        <is>
          <t>sep-2025</t>
        </is>
      </c>
      <c r="AE3" s="14" t="inlineStr">
        <is>
          <t>oct-2025</t>
        </is>
      </c>
      <c r="AF3" s="14" t="inlineStr">
        <is>
          <t>nov-2025</t>
        </is>
      </c>
      <c r="AG3" s="14" t="inlineStr">
        <is>
          <t>dic-2025</t>
        </is>
      </c>
      <c r="AH3" s="14" t="inlineStr">
        <is>
          <t>ene-2026</t>
        </is>
      </c>
      <c r="AI3" s="14" t="inlineStr">
        <is>
          <t>feb-2026</t>
        </is>
      </c>
      <c r="AJ3" s="14" t="inlineStr">
        <is>
          <t>mar-2026</t>
        </is>
      </c>
      <c r="AK3" s="14" t="inlineStr">
        <is>
          <t>abr-2026</t>
        </is>
      </c>
      <c r="AL3" s="14" t="inlineStr">
        <is>
          <t>may-2026</t>
        </is>
      </c>
      <c r="AM3" s="14" t="inlineStr">
        <is>
          <t>jun-2026*</t>
        </is>
      </c>
    </row>
    <row r="4">
      <c r="A4" s="15" t="inlineStr">
        <is>
          <t>FI Abierto Hencorp Opportunity</t>
        </is>
      </c>
      <c r="B4" s="19" t="n">
        <v>1503994.69</v>
      </c>
      <c r="C4" s="19" t="n">
        <v>1928332.3</v>
      </c>
      <c r="D4" s="19" t="n">
        <v>3606769.42</v>
      </c>
      <c r="E4" s="19" t="n">
        <v>7098164.71</v>
      </c>
      <c r="F4" s="19" t="n">
        <v>10409971.71</v>
      </c>
      <c r="G4" s="19" t="n">
        <v>11885614.96</v>
      </c>
      <c r="H4" s="19" t="n">
        <v>13128322.13</v>
      </c>
      <c r="I4" s="19" t="n">
        <v>15296245.41</v>
      </c>
      <c r="J4" s="19" t="n">
        <v>13775708.29</v>
      </c>
      <c r="K4" s="19" t="n">
        <v>15487387.6</v>
      </c>
      <c r="L4" s="19" t="n">
        <v>18663587.91</v>
      </c>
      <c r="M4" s="19" t="n">
        <v>24448617.19</v>
      </c>
      <c r="N4" s="19" t="n">
        <v>29070852.06</v>
      </c>
      <c r="O4" s="19" t="n">
        <v>27254195.66</v>
      </c>
      <c r="P4" s="19" t="n">
        <v>33841877.18</v>
      </c>
      <c r="Q4" s="19" t="n">
        <v>33108263.67</v>
      </c>
      <c r="R4" s="19" t="n">
        <v>37009004.07</v>
      </c>
      <c r="S4" s="19" t="n">
        <v>41438095.92</v>
      </c>
      <c r="T4" s="19" t="n">
        <v>44883884.88</v>
      </c>
      <c r="U4" s="19" t="n">
        <v>58584152.57</v>
      </c>
      <c r="V4" s="19" t="n">
        <v>53955391.9</v>
      </c>
      <c r="W4" s="19" t="n">
        <v>68104177.98999999</v>
      </c>
      <c r="X4" s="19" t="n">
        <v>81791518.87</v>
      </c>
      <c r="Y4" s="19" t="n">
        <v>89671127.59999999</v>
      </c>
      <c r="Z4" s="19" t="n">
        <v>84856703.73</v>
      </c>
      <c r="AA4" s="19" t="n">
        <v>99314486.36</v>
      </c>
      <c r="AB4" s="19" t="n">
        <v>100491023.1</v>
      </c>
      <c r="AC4" s="19" t="n">
        <v>114654416.77</v>
      </c>
      <c r="AD4" s="19" t="n">
        <v>121537267.81</v>
      </c>
      <c r="AE4" s="19" t="n">
        <v>138865239.29</v>
      </c>
      <c r="AF4" s="19" t="n">
        <v>138915958.26</v>
      </c>
      <c r="AG4" s="19" t="n">
        <v>153562219.77</v>
      </c>
      <c r="AH4" s="19" t="n">
        <v>160465268.5</v>
      </c>
      <c r="AI4" s="19" t="n">
        <v>162494841.11</v>
      </c>
      <c r="AJ4" s="19" t="n">
        <v>179487689</v>
      </c>
      <c r="AK4" s="19" t="n">
        <v>189276269.57</v>
      </c>
      <c r="AL4" s="19" t="n">
        <v>217688480.9</v>
      </c>
      <c r="AM4" s="19" t="n">
        <v>240214441.29</v>
      </c>
    </row>
    <row r="5">
      <c r="A5" s="15" t="inlineStr">
        <is>
          <t>FIC Renta Fija I</t>
        </is>
      </c>
      <c r="B5" s="17" t="n"/>
      <c r="C5" s="17" t="n"/>
      <c r="D5" s="17" t="n"/>
      <c r="E5" s="17" t="n"/>
      <c r="F5" s="17" t="n"/>
      <c r="G5" s="19" t="n">
        <v>201336399.74</v>
      </c>
      <c r="H5" s="19" t="n">
        <v>303329270.87</v>
      </c>
      <c r="I5" s="19" t="n">
        <v>305416446.25</v>
      </c>
      <c r="J5" s="19" t="n">
        <v>408140365.88</v>
      </c>
      <c r="K5" s="19" t="n">
        <v>511507942.91</v>
      </c>
      <c r="L5" s="19" t="n">
        <v>565450274.78</v>
      </c>
      <c r="M5" s="19" t="n">
        <v>619802551.8</v>
      </c>
      <c r="N5" s="19" t="n">
        <v>622015629.3099999</v>
      </c>
      <c r="O5" s="19" t="n">
        <v>621980671.05</v>
      </c>
      <c r="P5" s="19" t="n">
        <v>626399859.9299999</v>
      </c>
      <c r="Q5" s="19" t="n">
        <v>635020772.04</v>
      </c>
      <c r="R5" s="19" t="n">
        <v>635079355.4</v>
      </c>
      <c r="S5" s="19" t="n">
        <v>644062384.78</v>
      </c>
      <c r="T5" s="19" t="n">
        <v>643772866.13</v>
      </c>
      <c r="U5" s="19" t="n">
        <v>643839556.24</v>
      </c>
      <c r="V5" s="19" t="n">
        <v>648419070.4400001</v>
      </c>
      <c r="W5" s="19" t="n">
        <v>652559514.72</v>
      </c>
      <c r="X5" s="19" t="n">
        <v>656096911.47</v>
      </c>
      <c r="Y5" s="19" t="n">
        <v>660423123.01</v>
      </c>
      <c r="Z5" s="19" t="n">
        <v>655275858.1900001</v>
      </c>
      <c r="AA5" s="19" t="n">
        <v>657794261.3200001</v>
      </c>
      <c r="AB5" s="19" t="n">
        <v>662492608.0700001</v>
      </c>
      <c r="AC5" s="19" t="n">
        <v>665925665.74</v>
      </c>
      <c r="AD5" s="19" t="n">
        <v>669391787.35</v>
      </c>
      <c r="AE5" s="19" t="n">
        <v>673750361.96</v>
      </c>
      <c r="AF5" s="19" t="n">
        <v>670109251.27</v>
      </c>
      <c r="AG5" s="19" t="n">
        <v>673127647.97</v>
      </c>
      <c r="AH5" s="19" t="n">
        <v>685895557.8200001</v>
      </c>
      <c r="AI5" s="19" t="n">
        <v>687282289.61</v>
      </c>
      <c r="AJ5" s="19" t="n">
        <v>687306409.75</v>
      </c>
      <c r="AK5" s="19" t="n">
        <v>689669577.66</v>
      </c>
      <c r="AL5" s="19" t="n">
        <v>681440482.91</v>
      </c>
      <c r="AM5" s="19" t="n">
        <v>682556865.45</v>
      </c>
    </row>
    <row r="6">
      <c r="A6" s="15" t="inlineStr">
        <is>
          <t>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9" t="n">
        <v>14527551.2</v>
      </c>
      <c r="M6" s="19" t="n">
        <v>14607154.4</v>
      </c>
      <c r="N6" s="19" t="n">
        <v>14684247.56</v>
      </c>
      <c r="O6" s="19" t="n">
        <v>14764066.22</v>
      </c>
      <c r="P6" s="19" t="n">
        <v>14844554.12</v>
      </c>
      <c r="Q6" s="19" t="n">
        <v>14590241.42</v>
      </c>
      <c r="R6" s="19" t="n">
        <v>14671628.12</v>
      </c>
      <c r="S6" s="19" t="n">
        <v>14752874.77</v>
      </c>
      <c r="T6" s="19" t="n">
        <v>17400476.65</v>
      </c>
      <c r="U6" s="19" t="n">
        <v>17495432.68</v>
      </c>
      <c r="V6" s="19" t="n">
        <v>17590375.84</v>
      </c>
      <c r="W6" s="19" t="n">
        <v>17682286.33</v>
      </c>
      <c r="X6" s="19" t="n">
        <v>20139387.2</v>
      </c>
      <c r="Y6" s="19" t="n">
        <v>22664382.07</v>
      </c>
      <c r="Z6" s="19" t="n">
        <v>22767865.62</v>
      </c>
      <c r="AA6" s="19" t="n">
        <v>22872869.7</v>
      </c>
      <c r="AB6" s="19" t="n">
        <v>26966872.43</v>
      </c>
      <c r="AC6" s="19" t="n">
        <v>27093372.61</v>
      </c>
      <c r="AD6" s="19" t="n">
        <v>27220071.02</v>
      </c>
      <c r="AE6" s="19" t="n">
        <v>27345647.69</v>
      </c>
      <c r="AF6" s="19" t="n">
        <v>27673608.14</v>
      </c>
      <c r="AG6" s="19" t="n">
        <v>26270669.32</v>
      </c>
      <c r="AH6" s="19" t="n">
        <v>26403804.69</v>
      </c>
      <c r="AI6" s="19" t="n">
        <v>26532538.3</v>
      </c>
      <c r="AJ6" s="19" t="n">
        <v>26827002.35</v>
      </c>
      <c r="AK6" s="19" t="n">
        <v>27081248.47</v>
      </c>
      <c r="AL6" s="19" t="n">
        <v>27199675.97</v>
      </c>
      <c r="AM6" s="19" t="n">
        <v>27225524.33</v>
      </c>
    </row>
    <row r="7">
      <c r="A7" s="15" t="inlineStr">
        <is>
          <t>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9" t="n">
        <v>2421965.95</v>
      </c>
      <c r="AB7" s="19" t="n">
        <v>9963944.74</v>
      </c>
      <c r="AC7" s="19" t="n">
        <v>14239024.38</v>
      </c>
      <c r="AD7" s="19" t="n">
        <v>14230954.88</v>
      </c>
      <c r="AE7" s="19" t="n">
        <v>15640161.24</v>
      </c>
      <c r="AF7" s="19" t="n">
        <v>15532684.82</v>
      </c>
      <c r="AG7" s="19" t="n">
        <v>15443479.18</v>
      </c>
      <c r="AH7" s="19" t="n">
        <v>15196267.75</v>
      </c>
      <c r="AI7" s="19" t="n">
        <v>17572396.69</v>
      </c>
      <c r="AJ7" s="19" t="n">
        <v>17512616.38</v>
      </c>
      <c r="AK7" s="19" t="n">
        <v>18871057.77</v>
      </c>
      <c r="AL7" s="19" t="n">
        <v>18793466.92</v>
      </c>
      <c r="AM7" s="19" t="n">
        <v>18776797.31</v>
      </c>
    </row>
    <row r="8">
      <c r="A8" s="15" t="inlineStr">
        <is>
          <t>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9" t="n">
        <v>3500080.46</v>
      </c>
      <c r="AE8" s="19" t="n">
        <v>3501942.58</v>
      </c>
      <c r="AF8" s="19" t="n">
        <v>4896523.44</v>
      </c>
      <c r="AG8" s="19" t="n">
        <v>4922213.25</v>
      </c>
      <c r="AH8" s="19" t="n">
        <v>4923020.51</v>
      </c>
      <c r="AI8" s="19" t="n">
        <v>4949563.29</v>
      </c>
      <c r="AJ8" s="19" t="n">
        <v>4974898.98</v>
      </c>
      <c r="AK8" s="19" t="n">
        <v>4885726.13</v>
      </c>
      <c r="AL8" s="19" t="n">
        <v>4911574.68</v>
      </c>
      <c r="AM8" s="19" t="n">
        <v>4914278.92</v>
      </c>
    </row>
    <row r="9">
      <c r="A9" s="15" t="inlineStr">
        <is>
          <t>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9" t="n">
        <v>13000219.87</v>
      </c>
      <c r="AM9" s="19" t="n">
        <v>13037343.1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0" t="inlineStr">
        <is>
          <t>Notas y metodología</t>
        </is>
      </c>
    </row>
    <row r="2">
      <c r="A2" s="21" t="inlineStr"/>
    </row>
    <row r="3">
      <c r="A3" s="21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1" t="inlineStr">
        <is>
          <t>datos al 2026-06-07 (actualización 2026-06-08).</t>
        </is>
      </c>
    </row>
    <row r="5">
      <c r="A5" s="21" t="inlineStr"/>
    </row>
    <row r="6">
      <c r="A6" s="22" t="inlineStr">
        <is>
          <t>DEFINICIÓN DE 'RENDIMIENTO MENSUAL':</t>
        </is>
      </c>
    </row>
    <row r="7">
      <c r="A7" s="21" t="inlineStr">
        <is>
          <t>Rendimiento del mes = (Valor cuota al cierre del mes ÷ Valor cuota al cierre del mes anterior) − 1. Es el rendimiento real de la cuota en el mes.</t>
        </is>
      </c>
    </row>
    <row r="8">
      <c r="A8" s="23" t="inlineStr">
        <is>
          <t>El primer mes de cada fondo se mide desde el valor cuota inicial (base) hasta el cierre de ese mes (puede ser parcial). El año en curso es PARCIAL.</t>
        </is>
      </c>
    </row>
    <row r="9">
      <c r="A9" s="21" t="inlineStr"/>
    </row>
    <row r="10">
      <c r="A10" s="24" t="inlineStr">
        <is>
          <t>ADVERTENCIA (fondos cerrados):</t>
        </is>
      </c>
    </row>
    <row r="11">
      <c r="A11" s="21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1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1" t="inlineStr"/>
    </row>
    <row r="14">
      <c r="A14" s="25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2026-06-08T14:51:49Z</dcterms:created>
  <dcterms:modified xsi:type="dcterms:W3CDTF">2026-06-08T14:51:50Z</dcterms:modified>
</cp:coreProperties>
</file>